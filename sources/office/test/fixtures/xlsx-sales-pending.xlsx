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tables/table1.xml" ContentType="application/vnd.openxmlformats-officedocument.spreadsheetml.table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2300"/>
  </bookViews>
  <sheets>
    <sheet name="销售" sheetId="1" r:id="rId1"/>
    <sheet name="2024 预算" sheetId="2" r:id="rId2"/>
    <sheet name="Hidden" sheetId="3" state="hidden" r:id="rId3"/>
  </sheets>
  <definedNames>
    <definedName name="税率">'2024 预算'!$B$1</definedName>
  </definedNames>
  <calcPr calcId="191029"/>
</workbook>
</file>

<file path=xl/calcChain.xml><?xml version="1.0" encoding="utf-8"?>
<calcChain xmlns="http://schemas.openxmlformats.org/spreadsheetml/2006/main">
  <c r="D2" i="1"/>
  <c r="D3"/>
  <c r="D4"/>
  <c r="D5"/>
  <c r="B6"/>
  <c r="C6"/>
  <c r="D6"/>
  <c r="E2"/>
  <c r="G2" a="1"/>
  <c r="K2"/>
  <c r="K3"/>
  <c r="A2" i="2"/>
  <c r="A3"/>
  <c r="A4"/>
</calcChain>
</file>

<file path=xl/comments1.xml><?xml version="1.0" encoding="utf-8"?>
<comments xmlns="http://schemas.openxmlformats.org/spreadsheetml/2006/main">
  <authors>
    <author>owner</author>
  </authors>
  <commentList>
    <comment ref="B2" authorId="0">
      <text>
        <r>
          <t>季度目标 &gt; 1000</t>
        </r>
      </text>
    </comment>
  </commentList>
</comments>
</file>

<file path=xl/sharedStrings.xml><?xml version="1.0" encoding="utf-8"?>
<sst xmlns="http://schemas.openxmlformats.org/spreadsheetml/2006/main" count="14" uniqueCount="14">
  <si>
    <t>地区</t>
  </si>
  <si>
    <t>Q1</t>
  </si>
  <si>
    <t>Q2</t>
  </si>
  <si>
    <t>合计</t>
  </si>
  <si>
    <t>华东</t>
  </si>
  <si>
    <t>华南</t>
  </si>
  <si>
    <t>华北</t>
  </si>
  <si>
    <t>西部</t>
  </si>
  <si>
    <t>总计</t>
  </si>
  <si>
    <t>单价</t>
  </si>
  <si>
    <t>数量</t>
  </si>
  <si>
    <t>金额</t>
  </si>
  <si>
    <t>增长</t>
  </si>
  <si>
    <r>
      <rPr>
        <b/>
      </rPr>
      <t>东京</t>
    </r>
    <r>
      <t xml:space="preserve"> 支店</t>
    </r>
    <rPh sb="0" eb="2">
      <t>トウキョウ</t>
    </rPh>
  </si>
</sst>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color theme="1"/>
      <name val="Calibri"/>
    </font>
    <font>
      <b/>
      <sz val="11"/>
      <name val="Calibri"/>
    </font>
    <font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3" fontId="0" fillId="0" borderId="0" xfId="0" applyNumberFormat="1"/>
    <xf numFmtId="14" fontId="0" fillId="0" borderId="0" xfId="0" applyNumberFormat="1"/>
    <xf numFmtId="0" fontId="2" fillId="2" borderId="1" xfId="0" applyFont="1" applyFill="1" applyBorder="1"/>
    <xf numFmtId="9" fontId="0" fillId="0" borderId="0" xfId="0" applyNumberFormat="1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theme" Target="theme/theme1.xml"/><Relationship Id="rId7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1" name="Table1" displayName="Table1" ref="I1:K3" totalsRowShown="0">
  <autoFilter ref="I1:K3"/>
  <tableColumns count="3">
    <tableColumn id="1" name="单价"/>
    <tableColumn id="2" name="数量"/>
    <tableColumn id="3" name="金额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/>
        <a:ln/>
        <a:ln/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workbookViewId="0">
      <pane ySplit="1" topLeftCell="A2" activePane="bottomLeft" state="frozen"/>
    </sheetView>
  </sheetViews>
  <sheetFormatPr defaultRowHeight="15" x14ac:dyDescent="0.25"/>
  <cols>
    <col min="1" max="1" width="12" customWidth="1"/>
    <col min="2" max="4" width="10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  <c r="I1" s="1" t="s">
        <v>9</v>
      </c>
      <c r="J1" s="1" t="s">
        <v>10</v>
      </c>
      <c r="K1" s="1" t="s">
        <v>11</v>
      </c>
    </row>
    <row r="2" spans="1:11" x14ac:dyDescent="0.25">
      <c r="A2" t="s">
        <v>4</v>
      </c>
      <c r="B2" s="2">
        <v>1200</v>
      </c>
      <c r="C2" s="2">
        <v>1350</v>
      </c>
      <c r="D2" s="2">
        <f t="shared" ref="D2:D5" si="0">B2+C2</f>
        <v>2550</v>
      </c>
      <c r="E2" s="5">
        <f>(C2-B2)/B2</f>
        <v>0.125</v>
      </c>
      <c r="G2" s="2">
        <f t="array" ref="G2:G3">B2:B3*2</f>
        <v>2400</v>
      </c>
      <c r="I2" s="6">
        <v>12.5</v>
      </c>
      <c r="J2">
        <v>3</v>
      </c>
      <c r="K2" s="6">
        <f>I2*J2</f>
        <v>37.5</v>
      </c>
    </row>
    <row r="3" spans="1:11" x14ac:dyDescent="0.25">
      <c r="A3" t="s">
        <v>5</v>
      </c>
      <c r="B3" s="2">
        <v>900</v>
      </c>
      <c r="C3" s="2">
        <v>1010</v>
      </c>
      <c r="D3" s="2">
        <f>B3+C3+100</f>
      </c>
      <c r="G3" s="2">
        <v>1800</v>
      </c>
      <c r="I3" s="6">
        <v>8</v>
      </c>
      <c r="J3">
        <v>2</v>
      </c>
      <c r="K3" s="6">
        <f>I3*J3</f>
        <v>16</v>
      </c>
    </row>
    <row r="4" spans="1:11" x14ac:dyDescent="0.25">
      <c r="A4" t="s">
        <v>6</v>
      </c>
      <c r="B4" s="2">
        <v>760</v>
      </c>
      <c r="C4" s="2">
        <v>700</v>
      </c>
      <c r="D4" s="2">
        <f t="shared" si="0"/>
        <v>1460</v>
      </c>
    </row>
    <row r="5" spans="1:11" x14ac:dyDescent="0.25">
      <c r="A5" t="s">
        <v>7</v>
      </c>
      <c r="B5" s="2">
        <v>410</v>
      </c>
      <c r="C5" s="2">
        <v>520</v>
      </c>
      <c r="D5" s="2">
        <f t="shared" si="0"/>
        <v>930</v>
      </c>
    </row>
    <row r="6" spans="1:11" x14ac:dyDescent="0.25">
      <c r="A6" s="1" t="s">
        <v>8</v>
      </c>
      <c r="B6" s="2">
        <f>SUM(B2:B5)</f>
        <v>3270</v>
      </c>
      <c r="C6" s="2">
        <f>SUM(C2:C5)</f>
        <v>3580</v>
      </c>
      <c r="D6" s="2">
        <f>SUM(D2:D5)</f>
        <v>6850</v>
      </c>
    </row>
    <row r="7" spans="1:11" ht="30" customHeight="1" x14ac:dyDescent="0.25"/>
    <row r="8" spans="1:11" x14ac:dyDescent="0.25">
      <c r="A8" s="4" t="inlineStr">
        <is>
          <t>备注：Q3 &amp; Q4 待补</t>
        </is>
      </c>
      <c r="B8" s="4"/>
      <c r="C8" s="4"/>
      <c r="D8" s="4"/>
    </row>
    <row r="9" spans="1:11" x14ac:dyDescent="0.25">
      <c r="A9" t="s">
        <v>13</v>
      </c>
      <c r="B9" s="3">
        <v>45352</v>
      </c>
    </row>
  </sheetData>
  <mergeCells count="1">
    <mergeCell ref="A8:D8"/>
  </mergeCells>
  <pageMargins left="0.7" right="0.7" top="0.75" bottom="0.75" header="0.3" footer="0.3"/>
  <legacyDrawing r:id="rId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Data>
    <row r="1">
      <c r="A1" t="inlineStr">
        <is>
          <t>税率</t>
        </is>
      </c>
      <c r="B1" s="5">
        <v>0.13</v>
      </c>
    </row>
    <row r="2">
      <c r="A2" s="2">
        <f>SUM(销售!D2:D5)</f>
        <v>6850</v>
      </c>
    </row>
    <row r="3">
      <c r="A3" s="6">
        <f>SUM(Table1[单价])</f>
        <v>20.5</v>
      </c>
    </row>
    <row r="4">
      <c r="A4">
        <f>税率*100</f>
        <v>13</v>
      </c>
    </row>
  </sheetData>
</worksheet>
</file>

<file path=xl/worksheets/sheet3.xml><?xml version="1.0" encoding="utf-8"?>
<worksheet xmlns="http://schemas.openxmlformats.org/spreadsheetml/2006/main">
  <dimension ref="A1"/>
  <sheetData>
    <row r="1">
      <c r="A1" t="inlineStr">
        <is>
          <t>secret</t>
        </is>
      </c>
    </row>
  </sheetData>
</worksheet>
</file>